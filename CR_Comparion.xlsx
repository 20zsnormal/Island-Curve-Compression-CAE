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TGIS投稿\Data and Code\"/>
    </mc:Choice>
  </mc:AlternateContent>
  <xr:revisionPtr revIDLastSave="0" documentId="13_ncr:1_{B097DEB2-D5EC-46B0-A207-10B443A4CAF8}" xr6:coauthVersionLast="47" xr6:coauthVersionMax="47" xr10:uidLastSave="{00000000-0000-0000-0000-000000000000}"/>
  <bookViews>
    <workbookView xWindow="-120" yWindow="-120" windowWidth="29040" windowHeight="15840" tabRatio="602" xr2:uid="{00000000-000D-0000-FFFF-FFFF00000000}"/>
  </bookViews>
  <sheets>
    <sheet name="压缩率计算" sheetId="1" r:id="rId1"/>
    <sheet name="不同压缩率" sheetId="5" r:id="rId2"/>
    <sheet name="图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<sst xmlns="http://schemas.openxmlformats.org/spreadsheetml/2006/main" count="94" uniqueCount="47">
  <si>
    <t>中间像元</t>
    <phoneticPr fontId="1" type="noConversion"/>
  </si>
  <si>
    <t>最大偏移值/m</t>
    <phoneticPr fontId="1" type="noConversion"/>
  </si>
  <si>
    <t>平均偏移值/m</t>
    <phoneticPr fontId="1" type="noConversion"/>
  </si>
  <si>
    <t>1:100w比例尺下平均偏移值/mm</t>
    <phoneticPr fontId="1" type="noConversion"/>
  </si>
  <si>
    <t>压缩比/%</t>
    <phoneticPr fontId="1" type="noConversion"/>
  </si>
  <si>
    <t>傅里叶级数压缩方法</t>
    <phoneticPr fontId="1" type="noConversion"/>
  </si>
  <si>
    <t>展开项数</t>
    <phoneticPr fontId="1" type="noConversion"/>
  </si>
  <si>
    <t>输入向量</t>
    <phoneticPr fontId="1" type="noConversion"/>
  </si>
  <si>
    <t>压缩计算公式：中间像元/2*输入向量</t>
    <phoneticPr fontId="1" type="noConversion"/>
  </si>
  <si>
    <t>压缩计算公式：4*展开项数+2/2*输入向量数</t>
    <phoneticPr fontId="1" type="noConversion"/>
  </si>
  <si>
    <t>卷积自编码器平均偏移值/mm</t>
    <phoneticPr fontId="1" type="noConversion"/>
  </si>
  <si>
    <t>傅里叶级数平均偏移值/mm</t>
    <phoneticPr fontId="1" type="noConversion"/>
  </si>
  <si>
    <t>卷积自编码器压缩（0-1）</t>
    <phoneticPr fontId="1" type="noConversion"/>
  </si>
  <si>
    <t>卷积自编码器压缩方法N(0,1)</t>
    <phoneticPr fontId="1" type="noConversion"/>
  </si>
  <si>
    <t>全连接神经网络压缩方法N(0,1)</t>
    <phoneticPr fontId="1" type="noConversion"/>
  </si>
  <si>
    <t>精度最高训练次数</t>
    <phoneticPr fontId="1" type="noConversion"/>
  </si>
  <si>
    <t>卷积自编码器压缩方法（不同参数大小/卷积核大小对精度影响）</t>
    <phoneticPr fontId="1" type="noConversion"/>
  </si>
  <si>
    <t>卷积核大小</t>
    <phoneticPr fontId="1" type="noConversion"/>
  </si>
  <si>
    <t>分段长度</t>
    <phoneticPr fontId="1" type="noConversion"/>
  </si>
  <si>
    <t>点平均偏移值/m</t>
    <phoneticPr fontId="1" type="noConversion"/>
  </si>
  <si>
    <t>分段长度/m</t>
    <phoneticPr fontId="1" type="noConversion"/>
  </si>
  <si>
    <t>中间向量</t>
    <phoneticPr fontId="1" type="noConversion"/>
  </si>
  <si>
    <t>CAE</t>
    <phoneticPr fontId="1" type="noConversion"/>
  </si>
  <si>
    <t>FS</t>
    <phoneticPr fontId="1" type="noConversion"/>
  </si>
  <si>
    <t>FCA</t>
    <phoneticPr fontId="1" type="noConversion"/>
  </si>
  <si>
    <t>.</t>
    <phoneticPr fontId="1" type="noConversion"/>
  </si>
  <si>
    <t>DP算法</t>
    <phoneticPr fontId="1" type="noConversion"/>
  </si>
  <si>
    <t>压缩率计算公式：输入点数/输出点数</t>
    <phoneticPr fontId="1" type="noConversion"/>
  </si>
  <si>
    <t>阈值/m</t>
    <phoneticPr fontId="1" type="noConversion"/>
  </si>
  <si>
    <t>压缩比</t>
    <phoneticPr fontId="1" type="noConversion"/>
  </si>
  <si>
    <t>输入点数</t>
    <phoneticPr fontId="1" type="noConversion"/>
  </si>
  <si>
    <t>输出点数</t>
    <phoneticPr fontId="1" type="noConversion"/>
  </si>
  <si>
    <t>DP</t>
    <phoneticPr fontId="1" type="noConversion"/>
  </si>
  <si>
    <t>Compression Ratio</t>
    <phoneticPr fontId="1" type="noConversion"/>
  </si>
  <si>
    <t>压缩率/%</t>
    <phoneticPr fontId="1" type="noConversion"/>
  </si>
  <si>
    <t>Model</t>
  </si>
  <si>
    <t>PD</t>
  </si>
  <si>
    <t>RAE</t>
  </si>
  <si>
    <t>RPE</t>
  </si>
  <si>
    <t>IoU</t>
  </si>
  <si>
    <t>CC</t>
  </si>
  <si>
    <r>
      <t xml:space="preserve"> T</t>
    </r>
    <r>
      <rPr>
        <b/>
        <sz val="10"/>
        <color rgb="FF000000"/>
        <rFont val="等线"/>
        <family val="3"/>
        <charset val="134"/>
      </rPr>
      <t xml:space="preserve">rain </t>
    </r>
    <r>
      <rPr>
        <b/>
        <sz val="10"/>
        <color rgb="FF000000"/>
        <rFont val="Palatino Linotype"/>
        <family val="1"/>
      </rPr>
      <t>Time</t>
    </r>
  </si>
  <si>
    <t>CAE</t>
  </si>
  <si>
    <t>FCA</t>
  </si>
  <si>
    <t>FS</t>
  </si>
  <si>
    <r>
      <t xml:space="preserve"> N</t>
    </r>
    <r>
      <rPr>
        <sz val="10"/>
        <color rgb="FF000000"/>
        <rFont val="等线"/>
        <family val="3"/>
        <charset val="134"/>
      </rPr>
      <t>one</t>
    </r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</si>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</sst>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%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3" fillId="0" borderId="5" xfId="0" applyNumberFormat="1" applyFont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11" fontId="3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341496368418"/>
          <c:y val="9.4470947885577611E-2"/>
          <c:w val="0.67882480036986304"/>
          <c:h val="0.7380541258629052"/>
        </c:manualLayout>
      </c:layout>
      <c:lineChart>
        <c:grouping val="standard"/>
        <c:varyColors val="0"/>
        <c:ser>
          <c:idx val="0"/>
          <c:order val="0"/>
          <c:tx>
            <c:strRef>
              <c:f>压缩率计算!$D$50</c:f>
              <c:strCache>
                <c:ptCount val="1"/>
                <c:pt idx="0">
                  <c:v>CAE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3175">
                <a:solidFill>
                  <a:srgbClr val="FF0000"/>
                </a:solidFill>
              </a:ln>
              <a:effectLst/>
            </c:spPr>
          </c:marker>
          <c:cat>
            <c:numRef>
              <c:f>压缩率计算!$C$51:$C$55</c:f>
              <c:numCache>
                <c:formatCode>General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3.33</c:v>
                </c:pt>
                <c:pt idx="3">
                  <c:v>5</c:v>
                </c:pt>
                <c:pt idx="4">
                  <c:v>10</c:v>
                </c:pt>
              </c:numCache>
            </c:numRef>
          </c:cat>
          <c:val>
            <c:numRef>
              <c:f>压缩率计算!$D$51:$D$55</c:f>
              <c:numCache>
                <c:formatCode>General</c:formatCode>
                <c:ptCount val="5"/>
                <c:pt idx="0">
                  <c:v>45.284999999999997</c:v>
                </c:pt>
                <c:pt idx="1">
                  <c:v>44.59</c:v>
                </c:pt>
                <c:pt idx="2">
                  <c:v>42.405000000000001</c:v>
                </c:pt>
                <c:pt idx="3">
                  <c:v>62.106999999999999</c:v>
                </c:pt>
                <c:pt idx="4">
                  <c:v>117.831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0-4C20-B0BF-4E630278B0A3}"/>
            </c:ext>
          </c:extLst>
        </c:ser>
        <c:ser>
          <c:idx val="1"/>
          <c:order val="1"/>
          <c:tx>
            <c:strRef>
              <c:f>压缩率计算!$F$50</c:f>
              <c:strCache>
                <c:ptCount val="1"/>
                <c:pt idx="0">
                  <c:v>FS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3175">
                <a:solidFill>
                  <a:schemeClr val="accent5"/>
                </a:solidFill>
              </a:ln>
              <a:effectLst/>
            </c:spPr>
          </c:marker>
          <c:cat>
            <c:numRef>
              <c:f>压缩率计算!$C$51:$C$55</c:f>
              <c:numCache>
                <c:formatCode>General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3.33</c:v>
                </c:pt>
                <c:pt idx="3">
                  <c:v>5</c:v>
                </c:pt>
                <c:pt idx="4">
                  <c:v>10</c:v>
                </c:pt>
              </c:numCache>
            </c:numRef>
          </c:cat>
          <c:val>
            <c:numRef>
              <c:f>压缩率计算!$F$51:$F$55</c:f>
              <c:numCache>
                <c:formatCode>General</c:formatCode>
                <c:ptCount val="5"/>
                <c:pt idx="0">
                  <c:v>30.454000000000001</c:v>
                </c:pt>
                <c:pt idx="1">
                  <c:v>40.905000000000001</c:v>
                </c:pt>
                <c:pt idx="2">
                  <c:v>54.957999999999998</c:v>
                </c:pt>
                <c:pt idx="3">
                  <c:v>108.804</c:v>
                </c:pt>
                <c:pt idx="4">
                  <c:v>228.11199999999999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0-4C20-B0BF-4E630278B0A3}"/>
            </c:ext>
          </c:extLst>
        </c:ser>
        <c:ser>
          <c:idx val="2"/>
          <c:order val="2"/>
          <c:tx>
            <c:strRef>
              <c:f>压缩率计算!$G$50</c:f>
              <c:strCache>
                <c:ptCount val="1"/>
                <c:pt idx="0">
                  <c:v>FCA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压缩率计算!$G$51:$G$55</c:f>
              <c:numCache>
                <c:formatCode>General</c:formatCode>
                <c:ptCount val="5"/>
                <c:pt idx="0">
                  <c:v>60.798000000000002</c:v>
                </c:pt>
                <c:pt idx="1">
                  <c:v>56.744999999999997</c:v>
                </c:pt>
                <c:pt idx="2">
                  <c:v>59.957000000000001</c:v>
                </c:pt>
                <c:pt idx="3">
                  <c:v>83.546999999999997</c:v>
                </c:pt>
                <c:pt idx="4">
                  <c:v>182.46799999999999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2-41B0-A778-13BC4AE7DDBC}"/>
            </c:ext>
          </c:extLst>
        </c:ser>
        <c:ser>
          <c:idx val="3"/>
          <c:order val="3"/>
          <c:tx>
            <c:strRef>
              <c:f>压缩率计算!$E$50</c:f>
              <c:strCache>
                <c:ptCount val="1"/>
                <c:pt idx="0">
                  <c:v>DP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压缩率计算!$E$51:$E$55</c:f>
              <c:numCache>
                <c:formatCode>General</c:formatCode>
                <c:ptCount val="5"/>
                <c:pt idx="0">
                  <c:v>33.0548</c:v>
                </c:pt>
                <c:pt idx="1">
                  <c:v>50.942300000000003</c:v>
                </c:pt>
                <c:pt idx="2">
                  <c:v>81.978999999999999</c:v>
                </c:pt>
                <c:pt idx="3">
                  <c:v>150.53909999999999</c:v>
                </c:pt>
                <c:pt idx="4">
                  <c:v>399.44150000000002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3-4CFD-993A-E55563C1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911951"/>
        <c:axId val="1895908111"/>
      </c:lineChart>
      <c:catAx>
        <c:axId val="189591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Compression Ratio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36441482695114064"/>
              <c:y val="0.90328863983089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5908111"/>
        <c:crosses val="autoZero"/>
        <c:auto val="1"/>
        <c:lblAlgn val="ctr"/>
        <c:lblOffset val="100"/>
        <c:noMultiLvlLbl val="0"/>
      </c:catAx>
      <c:valAx>
        <c:axId val="18959081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positional deviation(m)</a:t>
                </a:r>
                <a:endParaRPr lang="zh-CN" alt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8953220865628938E-2"/>
              <c:y val="0.22625312329233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  <a:tail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591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23125476621767174"/>
          <c:y val="8.2512058286267717E-2"/>
          <c:w val="9.0064571850557176E-2"/>
          <c:h val="0.31668973710779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337167</xdr:colOff>
      <xdr:row>17</xdr:row>
      <xdr:rowOff>122623</xdr:rowOff>
    </xdr:from>
    <xdr:to>
      <xdr:col>19</xdr:col>
      <xdr:colOff>446690</xdr:colOff>
      <xdr:row>32</xdr:row>
      <xdr:rowOff>140138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8128E55-3D4C-CD3A-8AB1-D30EE9BC1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topLeftCell="A37" zoomScale="85" zoomScaleNormal="85" workbookViewId="0">
      <selection activeCell="I73" sqref="I73"/>
    </sheetView>
  </sheetViews>
  <sheetFormatPr defaultRowHeight="14.25" x14ac:dyDescent="0.2"/>
  <cols>
    <col min="1" max="1" width="56.375" style="1" bestFit="1" customWidth="1"/>
    <col min="2" max="2" width="34.625" style="1" bestFit="1" customWidth="1"/>
    <col min="3" max="3" width="24.375" style="1" bestFit="1" customWidth="1"/>
    <col min="4" max="4" width="16.25" style="1" bestFit="1" customWidth="1"/>
    <col min="5" max="7" width="28.375" bestFit="1" customWidth="1"/>
    <col min="8" max="8" width="8.5" bestFit="1" customWidth="1"/>
    <col min="10" max="10" width="6.125" bestFit="1" customWidth="1"/>
  </cols>
  <sheetData>
    <row r="1" spans="1:6" x14ac:dyDescent="0.2">
      <c r="A1" s="1" t="s">
        <v>12</v>
      </c>
      <c r="B1" s="29" t="s">
        <v>8</v>
      </c>
      <c r="C1" s="29"/>
    </row>
    <row r="2" spans="1:6" x14ac:dyDescent="0.2">
      <c r="A2" s="1" t="s">
        <v>7</v>
      </c>
      <c r="B2" s="1" t="s">
        <v>0</v>
      </c>
      <c r="C2" s="1" t="s">
        <v>34</v>
      </c>
      <c r="D2" s="1" t="s">
        <v>1</v>
      </c>
      <c r="E2" s="1" t="s">
        <v>2</v>
      </c>
      <c r="F2" s="1" t="s">
        <v>3</v>
      </c>
    </row>
    <row r="3" spans="1:6" x14ac:dyDescent="0.2">
      <c r="A3" s="1">
        <v>100</v>
      </c>
      <c r="B3" s="1">
        <v>100</v>
      </c>
      <c r="C3" s="1">
        <v>50</v>
      </c>
      <c r="D3" s="1">
        <v>936.76833402174202</v>
      </c>
      <c r="E3" s="1">
        <v>202.761327317168</v>
      </c>
      <c r="F3" s="1">
        <v>0.20200000000000001</v>
      </c>
    </row>
    <row r="4" spans="1:6" x14ac:dyDescent="0.2">
      <c r="A4" s="1">
        <v>100</v>
      </c>
      <c r="B4" s="1">
        <v>70</v>
      </c>
      <c r="C4" s="1">
        <v>35</v>
      </c>
      <c r="D4" s="1">
        <v>686.37137257962195</v>
      </c>
      <c r="E4" s="1">
        <v>116.228079806061</v>
      </c>
      <c r="F4" s="1">
        <v>0.11600000000000001</v>
      </c>
    </row>
    <row r="5" spans="1:6" x14ac:dyDescent="0.2">
      <c r="A5" s="1">
        <v>100</v>
      </c>
      <c r="B5" s="1">
        <v>50</v>
      </c>
      <c r="C5" s="1">
        <v>25</v>
      </c>
      <c r="D5" s="1">
        <v>970.94219999999996</v>
      </c>
      <c r="E5" s="1">
        <v>149.45699999999999</v>
      </c>
      <c r="F5" s="1">
        <v>0.14899999999999999</v>
      </c>
    </row>
    <row r="6" spans="1:6" x14ac:dyDescent="0.2">
      <c r="A6" s="1">
        <v>100</v>
      </c>
      <c r="B6" s="1">
        <v>20</v>
      </c>
      <c r="C6" s="1">
        <v>10</v>
      </c>
      <c r="D6" s="1">
        <v>1227.2560034420401</v>
      </c>
      <c r="E6">
        <v>181.011121263414</v>
      </c>
      <c r="F6" s="1">
        <v>0.18099999999999999</v>
      </c>
    </row>
    <row r="10" spans="1:6" x14ac:dyDescent="0.2">
      <c r="A10" s="1" t="s">
        <v>5</v>
      </c>
      <c r="B10" s="1" t="s">
        <v>9</v>
      </c>
    </row>
    <row r="11" spans="1:6" x14ac:dyDescent="0.2">
      <c r="A11" s="1" t="s">
        <v>7</v>
      </c>
      <c r="B11" s="1" t="s">
        <v>6</v>
      </c>
      <c r="C11" s="1" t="s">
        <v>34</v>
      </c>
      <c r="D11" s="1" t="s">
        <v>2</v>
      </c>
      <c r="E11" s="1" t="s">
        <v>3</v>
      </c>
    </row>
    <row r="12" spans="1:6" x14ac:dyDescent="0.2">
      <c r="A12" s="1">
        <v>100</v>
      </c>
      <c r="B12" s="1">
        <v>25</v>
      </c>
      <c r="C12" s="1">
        <v>50</v>
      </c>
      <c r="D12" s="3">
        <v>30.454000000000001</v>
      </c>
      <c r="E12" s="1">
        <v>3.0450000000000001E-2</v>
      </c>
    </row>
    <row r="13" spans="1:6" x14ac:dyDescent="0.2">
      <c r="A13" s="1">
        <v>100</v>
      </c>
      <c r="B13" s="1">
        <v>20</v>
      </c>
      <c r="C13" s="1">
        <v>40</v>
      </c>
      <c r="D13" s="3">
        <v>40.905000000000001</v>
      </c>
      <c r="E13" s="1">
        <v>4.0899999999999999E-2</v>
      </c>
    </row>
    <row r="14" spans="1:6" x14ac:dyDescent="0.2">
      <c r="A14" s="1">
        <v>100</v>
      </c>
      <c r="B14" s="1">
        <v>15</v>
      </c>
      <c r="C14" s="1">
        <v>30</v>
      </c>
      <c r="D14" s="3">
        <v>54.957999999999998</v>
      </c>
      <c r="E14" s="1">
        <v>5.4960000000000002E-2</v>
      </c>
    </row>
    <row r="15" spans="1:6" x14ac:dyDescent="0.2">
      <c r="A15" s="1">
        <v>100</v>
      </c>
      <c r="B15" s="1">
        <v>10</v>
      </c>
      <c r="C15" s="1">
        <v>20</v>
      </c>
      <c r="D15" s="3">
        <v>108.804</v>
      </c>
      <c r="E15" s="1">
        <v>0.10879999999999999</v>
      </c>
    </row>
    <row r="16" spans="1:6" x14ac:dyDescent="0.2">
      <c r="A16" s="1">
        <v>100</v>
      </c>
      <c r="B16" s="1">
        <v>5</v>
      </c>
      <c r="C16" s="1">
        <v>10</v>
      </c>
      <c r="D16" s="3">
        <v>228.11199999999999</v>
      </c>
      <c r="E16" s="1">
        <v>0.2281</v>
      </c>
    </row>
    <row r="18" spans="1:8" x14ac:dyDescent="0.2">
      <c r="A18" s="1" t="s">
        <v>4</v>
      </c>
      <c r="B18" s="1" t="s">
        <v>10</v>
      </c>
      <c r="C18" s="1" t="s">
        <v>11</v>
      </c>
    </row>
    <row r="19" spans="1:8" x14ac:dyDescent="0.2">
      <c r="A19" s="1">
        <v>50</v>
      </c>
      <c r="B19" s="1">
        <v>0.20200000000000001</v>
      </c>
      <c r="C19" s="1">
        <v>3.0450000000000001E-2</v>
      </c>
    </row>
    <row r="20" spans="1:8" x14ac:dyDescent="0.2">
      <c r="A20" s="1">
        <v>35</v>
      </c>
      <c r="B20" s="1">
        <v>0.11600000000000001</v>
      </c>
      <c r="C20" s="1">
        <v>4.6879999999999998E-2</v>
      </c>
      <c r="G20" s="8">
        <v>4</v>
      </c>
      <c r="H20" s="4">
        <v>65.803399999999996</v>
      </c>
    </row>
    <row r="21" spans="1:8" x14ac:dyDescent="0.2">
      <c r="A21" s="1">
        <v>25</v>
      </c>
      <c r="B21" s="1">
        <v>0.14899999999999999</v>
      </c>
      <c r="C21" s="1">
        <v>8.3260000000000001E-2</v>
      </c>
      <c r="G21" s="8">
        <v>7</v>
      </c>
      <c r="H21" s="4">
        <v>42.405000000000001</v>
      </c>
    </row>
    <row r="22" spans="1:8" x14ac:dyDescent="0.2">
      <c r="A22" s="1">
        <v>10</v>
      </c>
      <c r="B22" s="1">
        <v>0.18099999999999999</v>
      </c>
      <c r="C22" s="1">
        <v>0.2281</v>
      </c>
      <c r="G22" s="8">
        <v>9</v>
      </c>
      <c r="H22" s="4">
        <v>49.669800000000002</v>
      </c>
    </row>
    <row r="23" spans="1:8" x14ac:dyDescent="0.2">
      <c r="G23" s="8">
        <v>11</v>
      </c>
      <c r="H23" s="4">
        <v>52.2515</v>
      </c>
    </row>
    <row r="24" spans="1:8" x14ac:dyDescent="0.2">
      <c r="A24" s="1" t="s">
        <v>13</v>
      </c>
      <c r="B24" s="29" t="s">
        <v>8</v>
      </c>
      <c r="C24" s="29"/>
      <c r="G24" s="1">
        <v>13</v>
      </c>
      <c r="H24" s="4">
        <v>51.235900000000001</v>
      </c>
    </row>
    <row r="25" spans="1:8" x14ac:dyDescent="0.2">
      <c r="A25" s="1" t="s">
        <v>7</v>
      </c>
      <c r="B25" s="1" t="s">
        <v>0</v>
      </c>
      <c r="C25" s="1" t="s">
        <v>34</v>
      </c>
      <c r="D25" s="1" t="s">
        <v>15</v>
      </c>
      <c r="E25" s="1" t="s">
        <v>2</v>
      </c>
      <c r="F25" s="1" t="s">
        <v>3</v>
      </c>
      <c r="G25" s="5"/>
    </row>
    <row r="26" spans="1:8" x14ac:dyDescent="0.2">
      <c r="A26" s="1">
        <v>100</v>
      </c>
      <c r="B26" s="1">
        <v>100</v>
      </c>
      <c r="C26" s="1">
        <v>50</v>
      </c>
      <c r="D26" s="2">
        <v>194</v>
      </c>
      <c r="E26" s="4">
        <v>45.284999999999997</v>
      </c>
      <c r="F26" s="2">
        <v>4.53E-2</v>
      </c>
      <c r="G26" s="4"/>
    </row>
    <row r="27" spans="1:8" x14ac:dyDescent="0.2">
      <c r="A27" s="1">
        <v>100</v>
      </c>
      <c r="B27" s="1">
        <v>80</v>
      </c>
      <c r="C27" s="1">
        <v>40</v>
      </c>
      <c r="D27" s="2">
        <v>184</v>
      </c>
      <c r="E27" s="4">
        <v>44.59</v>
      </c>
      <c r="F27" s="2">
        <v>4.4600000000000001E-2</v>
      </c>
      <c r="G27" s="4"/>
    </row>
    <row r="28" spans="1:8" x14ac:dyDescent="0.2">
      <c r="A28" s="1">
        <v>100</v>
      </c>
      <c r="B28" s="1">
        <v>60</v>
      </c>
      <c r="C28" s="1">
        <v>30</v>
      </c>
      <c r="D28" s="4">
        <v>186</v>
      </c>
      <c r="E28" s="4">
        <v>42.405000000000001</v>
      </c>
      <c r="F28" s="2">
        <v>4.24E-2</v>
      </c>
      <c r="G28" s="4"/>
    </row>
    <row r="29" spans="1:8" x14ac:dyDescent="0.2">
      <c r="A29" s="1">
        <v>100</v>
      </c>
      <c r="B29" s="1">
        <v>40</v>
      </c>
      <c r="C29" s="1">
        <v>20</v>
      </c>
      <c r="D29" s="4">
        <v>164</v>
      </c>
      <c r="E29" s="4">
        <v>62.106999999999999</v>
      </c>
      <c r="F29" s="2">
        <v>6.2100000000000002E-2</v>
      </c>
      <c r="G29" s="4"/>
    </row>
    <row r="30" spans="1:8" x14ac:dyDescent="0.2">
      <c r="A30" s="1">
        <v>100</v>
      </c>
      <c r="B30" s="1">
        <v>20</v>
      </c>
      <c r="C30" s="1">
        <v>10</v>
      </c>
      <c r="D30" s="4">
        <v>139</v>
      </c>
      <c r="E30" s="4">
        <v>117.831</v>
      </c>
      <c r="F30" s="2">
        <v>0.11799999999999999</v>
      </c>
      <c r="G30" s="4"/>
    </row>
    <row r="33" spans="1:14" x14ac:dyDescent="0.2">
      <c r="A33" s="2" t="s">
        <v>14</v>
      </c>
      <c r="B33" s="29" t="s">
        <v>8</v>
      </c>
      <c r="C33" s="29"/>
      <c r="D33" s="2"/>
    </row>
    <row r="34" spans="1:14" x14ac:dyDescent="0.2">
      <c r="A34" s="2" t="s">
        <v>7</v>
      </c>
      <c r="B34" s="2" t="s">
        <v>0</v>
      </c>
      <c r="C34" s="2" t="s">
        <v>34</v>
      </c>
      <c r="D34" s="2" t="s">
        <v>15</v>
      </c>
      <c r="E34" s="2" t="s">
        <v>2</v>
      </c>
      <c r="F34" s="2" t="s">
        <v>3</v>
      </c>
    </row>
    <row r="35" spans="1:14" x14ac:dyDescent="0.2">
      <c r="A35" s="2">
        <v>100</v>
      </c>
      <c r="B35" s="2">
        <v>100</v>
      </c>
      <c r="C35" s="2">
        <v>50</v>
      </c>
      <c r="D35" s="2">
        <v>151</v>
      </c>
      <c r="E35" s="4">
        <v>60.798000000000002</v>
      </c>
      <c r="F35" s="2">
        <v>6.08E-2</v>
      </c>
    </row>
    <row r="36" spans="1:14" x14ac:dyDescent="0.2">
      <c r="A36" s="2">
        <v>100</v>
      </c>
      <c r="B36" s="2">
        <v>80</v>
      </c>
      <c r="C36" s="2">
        <v>40</v>
      </c>
      <c r="D36" s="2">
        <v>200</v>
      </c>
      <c r="E36" s="4">
        <v>56.744999999999997</v>
      </c>
      <c r="F36" s="2">
        <v>5.67E-2</v>
      </c>
    </row>
    <row r="37" spans="1:14" x14ac:dyDescent="0.2">
      <c r="A37" s="2">
        <v>100</v>
      </c>
      <c r="B37" s="2">
        <v>60</v>
      </c>
      <c r="C37" s="2">
        <v>30</v>
      </c>
      <c r="D37" s="2">
        <v>150</v>
      </c>
      <c r="E37" s="4">
        <v>59.957000000000001</v>
      </c>
      <c r="F37" s="2">
        <v>0.06</v>
      </c>
    </row>
    <row r="38" spans="1:14" x14ac:dyDescent="0.2">
      <c r="A38" s="2">
        <v>100</v>
      </c>
      <c r="B38" s="2">
        <v>40</v>
      </c>
      <c r="C38" s="2">
        <v>20</v>
      </c>
      <c r="D38" s="2">
        <v>125</v>
      </c>
      <c r="E38" s="4">
        <v>83.546999999999997</v>
      </c>
      <c r="F38" s="2">
        <v>8.3500000000000005E-2</v>
      </c>
    </row>
    <row r="39" spans="1:14" x14ac:dyDescent="0.2">
      <c r="A39" s="2">
        <v>100</v>
      </c>
      <c r="B39" s="2">
        <v>20</v>
      </c>
      <c r="C39" s="2">
        <v>10</v>
      </c>
      <c r="D39" s="2">
        <v>77</v>
      </c>
      <c r="E39" s="4">
        <v>182.46799999999999</v>
      </c>
      <c r="F39" s="2">
        <v>0.182</v>
      </c>
    </row>
    <row r="41" spans="1:14" x14ac:dyDescent="0.2">
      <c r="A41" s="3" t="s">
        <v>16</v>
      </c>
      <c r="B41" s="29" t="s">
        <v>8</v>
      </c>
      <c r="C41" s="29"/>
    </row>
    <row r="42" spans="1:14" x14ac:dyDescent="0.2">
      <c r="A42" s="3" t="s">
        <v>7</v>
      </c>
      <c r="B42" s="3" t="s">
        <v>0</v>
      </c>
      <c r="C42" s="3" t="s">
        <v>34</v>
      </c>
      <c r="D42" s="1" t="s">
        <v>17</v>
      </c>
      <c r="E42" s="3" t="s">
        <v>19</v>
      </c>
      <c r="F42" s="3" t="s">
        <v>3</v>
      </c>
    </row>
    <row r="43" spans="1:14" x14ac:dyDescent="0.2">
      <c r="A43" s="3">
        <v>100</v>
      </c>
      <c r="B43" s="3">
        <v>60</v>
      </c>
      <c r="C43" s="3">
        <v>30</v>
      </c>
      <c r="D43" s="8">
        <v>4</v>
      </c>
      <c r="E43" s="4">
        <v>65.803399999999996</v>
      </c>
      <c r="F43" s="3">
        <v>0.51200000000000001</v>
      </c>
      <c r="N43" t="s">
        <v>25</v>
      </c>
    </row>
    <row r="44" spans="1:14" x14ac:dyDescent="0.2">
      <c r="A44" s="3">
        <v>100</v>
      </c>
      <c r="B44" s="3">
        <v>60</v>
      </c>
      <c r="C44" s="3">
        <v>30</v>
      </c>
      <c r="D44" s="8">
        <v>7</v>
      </c>
      <c r="E44" s="4">
        <v>42.405000000000001</v>
      </c>
      <c r="F44" s="3">
        <v>5.2299999999999999E-2</v>
      </c>
    </row>
    <row r="45" spans="1:14" x14ac:dyDescent="0.2">
      <c r="A45" s="3">
        <v>100</v>
      </c>
      <c r="B45" s="3">
        <v>60</v>
      </c>
      <c r="C45" s="3">
        <v>30</v>
      </c>
      <c r="D45" s="8">
        <v>9</v>
      </c>
      <c r="E45" s="4">
        <v>49.669800000000002</v>
      </c>
      <c r="F45" s="5">
        <v>4.9700000000000001E-2</v>
      </c>
    </row>
    <row r="46" spans="1:14" x14ac:dyDescent="0.2">
      <c r="A46" s="3">
        <v>100</v>
      </c>
      <c r="B46" s="3">
        <v>60</v>
      </c>
      <c r="C46" s="3">
        <v>30</v>
      </c>
      <c r="D46" s="8">
        <v>11</v>
      </c>
      <c r="E46" s="4">
        <v>52.2515</v>
      </c>
      <c r="F46" s="3">
        <v>4.24E-2</v>
      </c>
    </row>
    <row r="47" spans="1:14" x14ac:dyDescent="0.2">
      <c r="A47" s="3">
        <v>100</v>
      </c>
      <c r="B47" s="3">
        <v>60</v>
      </c>
      <c r="C47" s="3">
        <v>30</v>
      </c>
      <c r="D47" s="8">
        <v>13</v>
      </c>
      <c r="E47" s="4">
        <v>51.235900000000001</v>
      </c>
      <c r="F47" s="3">
        <v>6.5799999999999997E-2</v>
      </c>
    </row>
    <row r="50" spans="1:7" ht="15.75" x14ac:dyDescent="0.25">
      <c r="B50" s="19" t="s">
        <v>34</v>
      </c>
      <c r="C50" s="18" t="s">
        <v>33</v>
      </c>
      <c r="D50" s="18" t="s">
        <v>22</v>
      </c>
      <c r="E50" s="18" t="s">
        <v>32</v>
      </c>
      <c r="F50" s="18" t="s">
        <v>23</v>
      </c>
      <c r="G50" s="18" t="s">
        <v>24</v>
      </c>
    </row>
    <row r="51" spans="1:7" x14ac:dyDescent="0.2">
      <c r="B51" s="19">
        <v>50</v>
      </c>
      <c r="C51" s="19">
        <v>2</v>
      </c>
      <c r="D51" s="4">
        <v>45.284999999999997</v>
      </c>
      <c r="E51" s="4">
        <v>33.0548</v>
      </c>
      <c r="F51" s="5">
        <v>30.454000000000001</v>
      </c>
      <c r="G51" s="4">
        <v>60.798000000000002</v>
      </c>
    </row>
    <row r="52" spans="1:7" x14ac:dyDescent="0.2">
      <c r="B52" s="19">
        <v>40</v>
      </c>
      <c r="C52" s="19">
        <v>2.5</v>
      </c>
      <c r="D52" s="4">
        <v>44.59</v>
      </c>
      <c r="E52" s="4">
        <v>50.942300000000003</v>
      </c>
      <c r="F52" s="5">
        <v>40.905000000000001</v>
      </c>
      <c r="G52" s="4">
        <v>56.744999999999997</v>
      </c>
    </row>
    <row r="53" spans="1:7" x14ac:dyDescent="0.2">
      <c r="B53" s="19">
        <v>30</v>
      </c>
      <c r="C53" s="19">
        <v>3.33</v>
      </c>
      <c r="D53" s="4">
        <v>42.405000000000001</v>
      </c>
      <c r="E53" s="4">
        <v>81.978999999999999</v>
      </c>
      <c r="F53" s="5">
        <v>54.957999999999998</v>
      </c>
      <c r="G53" s="4">
        <v>59.957000000000001</v>
      </c>
    </row>
    <row r="54" spans="1:7" x14ac:dyDescent="0.2">
      <c r="B54" s="19">
        <v>20</v>
      </c>
      <c r="C54" s="19">
        <v>5</v>
      </c>
      <c r="D54" s="4">
        <v>62.106999999999999</v>
      </c>
      <c r="E54" s="4">
        <v>150.53909999999999</v>
      </c>
      <c r="F54" s="5">
        <v>108.804</v>
      </c>
      <c r="G54" s="4">
        <v>83.546999999999997</v>
      </c>
    </row>
    <row r="55" spans="1:7" x14ac:dyDescent="0.2">
      <c r="B55" s="19">
        <v>10</v>
      </c>
      <c r="C55" s="19">
        <v>10</v>
      </c>
      <c r="D55" s="4">
        <v>117.831</v>
      </c>
      <c r="E55" s="4">
        <v>399.44150000000002</v>
      </c>
      <c r="F55" s="5">
        <v>228.11199999999999</v>
      </c>
      <c r="G55" s="4">
        <v>182.46799999999999</v>
      </c>
    </row>
    <row r="57" spans="1:7" x14ac:dyDescent="0.2">
      <c r="A57" s="9" t="s">
        <v>7</v>
      </c>
      <c r="B57" s="9" t="s">
        <v>0</v>
      </c>
      <c r="C57" s="9" t="s">
        <v>34</v>
      </c>
      <c r="D57" s="9" t="s">
        <v>18</v>
      </c>
      <c r="E57" s="9" t="s">
        <v>19</v>
      </c>
    </row>
    <row r="58" spans="1:7" x14ac:dyDescent="0.2">
      <c r="A58" s="9">
        <v>100</v>
      </c>
      <c r="B58" s="9">
        <v>60</v>
      </c>
      <c r="C58" s="9">
        <v>30</v>
      </c>
      <c r="D58" s="9">
        <v>75000</v>
      </c>
      <c r="E58" s="4">
        <v>73.416600000000003</v>
      </c>
    </row>
    <row r="59" spans="1:7" x14ac:dyDescent="0.2">
      <c r="A59" s="9">
        <v>100</v>
      </c>
      <c r="B59" s="9">
        <v>60</v>
      </c>
      <c r="C59" s="9">
        <v>30</v>
      </c>
      <c r="D59" s="9">
        <v>50000</v>
      </c>
      <c r="E59" s="4">
        <v>52.270099999999999</v>
      </c>
    </row>
    <row r="60" spans="1:7" x14ac:dyDescent="0.2">
      <c r="A60" s="9">
        <v>100</v>
      </c>
      <c r="B60" s="9">
        <v>60</v>
      </c>
      <c r="C60" s="9">
        <v>30</v>
      </c>
      <c r="D60" s="9">
        <v>25000</v>
      </c>
      <c r="E60" s="4">
        <v>41.981900000000003</v>
      </c>
    </row>
    <row r="61" spans="1:7" x14ac:dyDescent="0.2">
      <c r="A61" s="9">
        <v>100</v>
      </c>
      <c r="B61" s="9">
        <v>60</v>
      </c>
      <c r="C61" s="9">
        <v>30</v>
      </c>
      <c r="D61" s="9">
        <v>15000</v>
      </c>
      <c r="E61" s="4">
        <v>46.070399999999999</v>
      </c>
    </row>
    <row r="62" spans="1:7" x14ac:dyDescent="0.2">
      <c r="A62" s="9"/>
      <c r="B62" s="9"/>
      <c r="C62" s="9"/>
    </row>
    <row r="65" spans="1:8" x14ac:dyDescent="0.2">
      <c r="A65" s="19" t="s">
        <v>26</v>
      </c>
      <c r="B65" s="29" t="s">
        <v>27</v>
      </c>
      <c r="C65" s="29"/>
      <c r="D65" s="19"/>
    </row>
    <row r="66" spans="1:8" x14ac:dyDescent="0.2">
      <c r="A66" s="19" t="s">
        <v>28</v>
      </c>
      <c r="B66" s="19" t="s">
        <v>30</v>
      </c>
      <c r="C66" s="1" t="s">
        <v>31</v>
      </c>
      <c r="D66" s="19" t="s">
        <v>29</v>
      </c>
      <c r="E66" s="19" t="s">
        <v>19</v>
      </c>
      <c r="F66" s="19" t="s">
        <v>3</v>
      </c>
    </row>
    <row r="67" spans="1:8" x14ac:dyDescent="0.2">
      <c r="A67" s="19">
        <v>91</v>
      </c>
      <c r="B67" s="19">
        <v>153396</v>
      </c>
      <c r="C67" s="19">
        <v>76655</v>
      </c>
      <c r="D67" s="19">
        <v>2</v>
      </c>
      <c r="E67" s="4">
        <v>33.0548</v>
      </c>
      <c r="F67" s="19">
        <v>0.51200000000000001</v>
      </c>
    </row>
    <row r="68" spans="1:8" x14ac:dyDescent="0.2">
      <c r="A68" s="19">
        <v>138</v>
      </c>
      <c r="B68" s="19">
        <v>153396</v>
      </c>
      <c r="C68" s="19">
        <v>58365</v>
      </c>
      <c r="D68" s="19">
        <v>2.5</v>
      </c>
      <c r="E68" s="4">
        <v>50.942300000000003</v>
      </c>
      <c r="F68" s="19">
        <v>5.2299999999999999E-2</v>
      </c>
    </row>
    <row r="69" spans="1:8" x14ac:dyDescent="0.2">
      <c r="A69" s="19">
        <v>220</v>
      </c>
      <c r="B69" s="19">
        <v>153396</v>
      </c>
      <c r="C69" s="19">
        <v>46017</v>
      </c>
      <c r="D69" s="19">
        <v>3.33</v>
      </c>
      <c r="E69" s="4">
        <v>81.978999999999999</v>
      </c>
      <c r="F69" s="19">
        <v>4.9700000000000001E-2</v>
      </c>
    </row>
    <row r="70" spans="1:8" x14ac:dyDescent="0.2">
      <c r="A70" s="19">
        <v>414</v>
      </c>
      <c r="B70" s="19">
        <v>153396</v>
      </c>
      <c r="C70" s="19">
        <v>30665</v>
      </c>
      <c r="D70" s="19">
        <v>5</v>
      </c>
      <c r="E70" s="4">
        <v>150.53909999999999</v>
      </c>
      <c r="F70" s="19">
        <v>4.24E-2</v>
      </c>
    </row>
    <row r="71" spans="1:8" x14ac:dyDescent="0.2">
      <c r="A71" s="19">
        <v>1158</v>
      </c>
      <c r="B71" s="19">
        <v>153396</v>
      </c>
      <c r="C71" s="19">
        <v>15332</v>
      </c>
      <c r="D71" s="19">
        <v>10</v>
      </c>
      <c r="E71" s="4">
        <v>399.44150000000002</v>
      </c>
      <c r="F71" s="19">
        <v>6.5799999999999997E-2</v>
      </c>
    </row>
    <row r="74" spans="1:8" ht="15" thickBot="1" x14ac:dyDescent="0.25"/>
    <row r="75" spans="1:8" ht="16.5" thickTop="1" thickBot="1" x14ac:dyDescent="0.25">
      <c r="A75" s="22" t="s">
        <v>35</v>
      </c>
      <c r="B75" s="22" t="s">
        <v>36</v>
      </c>
      <c r="C75" s="22" t="s">
        <v>37</v>
      </c>
      <c r="D75" s="22" t="s">
        <v>38</v>
      </c>
      <c r="E75" s="22" t="s">
        <v>39</v>
      </c>
      <c r="F75" s="22" t="s">
        <v>40</v>
      </c>
      <c r="G75" s="22" t="s">
        <v>41</v>
      </c>
      <c r="H75" s="22"/>
    </row>
    <row r="76" spans="1:8" ht="15" x14ac:dyDescent="0.2">
      <c r="A76" s="20" t="s">
        <v>42</v>
      </c>
      <c r="B76" s="20">
        <v>42.41</v>
      </c>
      <c r="C76" s="26">
        <v>6.7000000000000002E-5</v>
      </c>
      <c r="D76" s="26">
        <v>9.9190000000000007E-3</v>
      </c>
      <c r="E76" s="20">
        <v>0.99909999999999999</v>
      </c>
      <c r="F76" s="24">
        <v>3.2200000000000002E-4</v>
      </c>
      <c r="G76" s="30">
        <v>57.32</v>
      </c>
      <c r="H76" s="30"/>
    </row>
    <row r="77" spans="1:8" ht="15" x14ac:dyDescent="0.2">
      <c r="A77" s="20" t="s">
        <v>32</v>
      </c>
      <c r="B77" s="20">
        <v>81.98</v>
      </c>
      <c r="C77" s="26">
        <v>1.4E-5</v>
      </c>
      <c r="D77" s="26">
        <v>7.5760000000000003E-3</v>
      </c>
      <c r="E77" s="20">
        <v>0.99850000000000005</v>
      </c>
      <c r="F77" s="28">
        <v>4.6E-5</v>
      </c>
      <c r="G77" s="20" t="s">
        <v>46</v>
      </c>
      <c r="H77" s="20"/>
    </row>
    <row r="78" spans="1:8" ht="15" x14ac:dyDescent="0.2">
      <c r="A78" s="20" t="s">
        <v>43</v>
      </c>
      <c r="B78" s="20">
        <v>59.96</v>
      </c>
      <c r="C78" s="26">
        <v>1.17E-4</v>
      </c>
      <c r="D78" s="26">
        <v>1.8345E-2</v>
      </c>
      <c r="E78" s="20">
        <v>0.99880000000000002</v>
      </c>
      <c r="F78" s="23">
        <v>3.5199999999999999E-4</v>
      </c>
      <c r="G78" s="20">
        <v>51.94</v>
      </c>
      <c r="H78" s="20"/>
    </row>
    <row r="79" spans="1:8" ht="15.75" thickBot="1" x14ac:dyDescent="0.25">
      <c r="A79" s="21" t="s">
        <v>44</v>
      </c>
      <c r="B79" s="21">
        <v>54.96</v>
      </c>
      <c r="C79" s="27">
        <v>1.4829999999999999E-3</v>
      </c>
      <c r="D79" s="27">
        <v>9.5379999999999996E-3</v>
      </c>
      <c r="E79" s="21">
        <v>0.99209999999999998</v>
      </c>
      <c r="F79" s="25">
        <v>2.0599999999999999E-4</v>
      </c>
      <c r="G79" s="21" t="s">
        <v>45</v>
      </c>
      <c r="H79" s="21"/>
    </row>
    <row r="80" spans="1:8" ht="15" thickTop="1" x14ac:dyDescent="0.2"/>
  </sheetData>
  <mergeCells count="5">
    <mergeCell ref="B1:C1"/>
    <mergeCell ref="B24:C24"/>
    <mergeCell ref="B33:C33"/>
    <mergeCell ref="B41:C41"/>
    <mergeCell ref="B65:C6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4C3C-E004-4AEB-8E41-57DA93AEF047}">
  <dimension ref="A1:E7"/>
  <sheetViews>
    <sheetView topLeftCell="B1" workbookViewId="0">
      <selection activeCell="E2" sqref="E2"/>
    </sheetView>
  </sheetViews>
  <sheetFormatPr defaultRowHeight="14.25" x14ac:dyDescent="0.2"/>
  <cols>
    <col min="1" max="2" width="8.5" bestFit="1" customWidth="1"/>
    <col min="3" max="3" width="8.25" bestFit="1" customWidth="1"/>
    <col min="4" max="4" width="16.25" bestFit="1" customWidth="1"/>
    <col min="5" max="6" width="28.375" bestFit="1" customWidth="1"/>
  </cols>
  <sheetData>
    <row r="1" spans="1:5" ht="15.75" thickTop="1" thickBot="1" x14ac:dyDescent="0.25">
      <c r="A1" s="17" t="s">
        <v>7</v>
      </c>
      <c r="B1" s="17" t="s">
        <v>0</v>
      </c>
      <c r="C1" s="17" t="s">
        <v>4</v>
      </c>
      <c r="D1" s="17" t="s">
        <v>2</v>
      </c>
      <c r="E1" s="17" t="s">
        <v>3</v>
      </c>
    </row>
    <row r="2" spans="1:5" x14ac:dyDescent="0.2">
      <c r="A2" s="10">
        <v>100</v>
      </c>
      <c r="B2" s="10">
        <v>100</v>
      </c>
      <c r="C2" s="10">
        <v>50</v>
      </c>
      <c r="D2" s="13">
        <v>45.284999999999997</v>
      </c>
      <c r="E2" s="10">
        <v>4.53E-2</v>
      </c>
    </row>
    <row r="3" spans="1:5" x14ac:dyDescent="0.2">
      <c r="A3" s="10">
        <v>100</v>
      </c>
      <c r="B3" s="10">
        <v>80</v>
      </c>
      <c r="C3" s="10">
        <v>40</v>
      </c>
      <c r="D3" s="13">
        <v>44.59</v>
      </c>
      <c r="E3" s="10">
        <v>4.4600000000000001E-2</v>
      </c>
    </row>
    <row r="4" spans="1:5" x14ac:dyDescent="0.2">
      <c r="A4" s="10">
        <v>100</v>
      </c>
      <c r="B4" s="10">
        <v>60</v>
      </c>
      <c r="C4" s="10">
        <v>30</v>
      </c>
      <c r="D4" s="13">
        <v>42.405000000000001</v>
      </c>
      <c r="E4" s="10">
        <v>4.24E-2</v>
      </c>
    </row>
    <row r="5" spans="1:5" x14ac:dyDescent="0.2">
      <c r="A5" s="10">
        <v>100</v>
      </c>
      <c r="B5" s="10">
        <v>40</v>
      </c>
      <c r="C5" s="10">
        <v>20</v>
      </c>
      <c r="D5" s="13">
        <v>62.106999999999999</v>
      </c>
      <c r="E5" s="10">
        <v>6.2100000000000002E-2</v>
      </c>
    </row>
    <row r="6" spans="1:5" ht="15" thickBot="1" x14ac:dyDescent="0.25">
      <c r="A6" s="15">
        <v>100</v>
      </c>
      <c r="B6" s="15">
        <v>20</v>
      </c>
      <c r="C6" s="15">
        <v>10</v>
      </c>
      <c r="D6" s="16">
        <v>117.831</v>
      </c>
      <c r="E6" s="15">
        <v>0.11799999999999999</v>
      </c>
    </row>
    <row r="7" spans="1:5" ht="15" thickTop="1" x14ac:dyDescent="0.2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E7E3-6FE1-4658-959D-0D7EA85B6C23}">
  <dimension ref="A1:I15"/>
  <sheetViews>
    <sheetView workbookViewId="0">
      <selection activeCell="A23" sqref="A23"/>
    </sheetView>
  </sheetViews>
  <sheetFormatPr defaultRowHeight="14.25" x14ac:dyDescent="0.2"/>
  <cols>
    <col min="1" max="1" width="12.375" bestFit="1" customWidth="1"/>
    <col min="2" max="2" width="8.25" bestFit="1" customWidth="1"/>
    <col min="3" max="3" width="16.25" bestFit="1" customWidth="1"/>
    <col min="4" max="4" width="12.75" bestFit="1" customWidth="1"/>
    <col min="5" max="5" width="14.75" bestFit="1" customWidth="1"/>
    <col min="8" max="8" width="11.375" bestFit="1" customWidth="1"/>
    <col min="9" max="9" width="14.75" bestFit="1" customWidth="1"/>
  </cols>
  <sheetData>
    <row r="1" spans="1:9" ht="15.75" thickTop="1" thickBot="1" x14ac:dyDescent="0.25">
      <c r="A1" s="6" t="s">
        <v>21</v>
      </c>
      <c r="B1" s="6" t="s">
        <v>4</v>
      </c>
      <c r="C1" s="6" t="s">
        <v>15</v>
      </c>
      <c r="D1" s="6" t="s">
        <v>2</v>
      </c>
      <c r="E1" s="12" t="s">
        <v>7</v>
      </c>
      <c r="F1" s="12" t="s">
        <v>21</v>
      </c>
      <c r="G1" s="12" t="s">
        <v>4</v>
      </c>
      <c r="H1" s="12" t="s">
        <v>20</v>
      </c>
      <c r="I1" s="12" t="s">
        <v>19</v>
      </c>
    </row>
    <row r="2" spans="1:9" x14ac:dyDescent="0.2">
      <c r="A2" s="6">
        <v>100</v>
      </c>
      <c r="B2" s="6">
        <v>50</v>
      </c>
      <c r="C2" s="6">
        <v>194</v>
      </c>
      <c r="D2" s="7">
        <v>45.284999999999997</v>
      </c>
      <c r="E2" s="10">
        <v>200</v>
      </c>
      <c r="F2" s="10">
        <v>60</v>
      </c>
      <c r="G2" s="10">
        <v>30</v>
      </c>
      <c r="H2" s="10">
        <v>75000</v>
      </c>
      <c r="I2" s="13">
        <v>73.416600000000003</v>
      </c>
    </row>
    <row r="3" spans="1:9" x14ac:dyDescent="0.2">
      <c r="A3" s="6">
        <v>80</v>
      </c>
      <c r="B3" s="6">
        <v>40</v>
      </c>
      <c r="C3" s="6">
        <v>184</v>
      </c>
      <c r="D3" s="7">
        <v>44.59</v>
      </c>
      <c r="E3" s="10">
        <v>200</v>
      </c>
      <c r="F3" s="10">
        <v>60</v>
      </c>
      <c r="G3" s="10">
        <v>30</v>
      </c>
      <c r="H3" s="10">
        <v>50000</v>
      </c>
      <c r="I3" s="13">
        <v>52.270099999999999</v>
      </c>
    </row>
    <row r="4" spans="1:9" x14ac:dyDescent="0.2">
      <c r="A4" s="6">
        <v>60</v>
      </c>
      <c r="B4" s="6">
        <v>30</v>
      </c>
      <c r="C4" s="7">
        <v>186</v>
      </c>
      <c r="D4" s="7">
        <v>42.405000000000001</v>
      </c>
      <c r="E4" s="10">
        <v>200</v>
      </c>
      <c r="F4" s="10">
        <v>60</v>
      </c>
      <c r="G4" s="10">
        <v>30</v>
      </c>
      <c r="H4" s="10">
        <v>25000</v>
      </c>
      <c r="I4" s="13">
        <v>41.981900000000003</v>
      </c>
    </row>
    <row r="5" spans="1:9" ht="15" thickBot="1" x14ac:dyDescent="0.25">
      <c r="A5" s="6">
        <v>40</v>
      </c>
      <c r="B5" s="6">
        <v>20</v>
      </c>
      <c r="C5" s="7">
        <v>164</v>
      </c>
      <c r="D5" s="7">
        <v>62.106999999999999</v>
      </c>
      <c r="E5" s="11">
        <v>200</v>
      </c>
      <c r="F5" s="11">
        <v>60</v>
      </c>
      <c r="G5" s="11">
        <v>30</v>
      </c>
      <c r="H5" s="11">
        <v>15000</v>
      </c>
      <c r="I5" s="14">
        <v>46.070399999999999</v>
      </c>
    </row>
    <row r="6" spans="1:9" ht="15" thickTop="1" x14ac:dyDescent="0.2">
      <c r="A6" s="6">
        <v>20</v>
      </c>
      <c r="B6" s="6">
        <v>10</v>
      </c>
      <c r="C6" s="7">
        <v>139</v>
      </c>
      <c r="D6" s="7">
        <v>117.831</v>
      </c>
      <c r="E6" s="6"/>
    </row>
    <row r="8" spans="1:9" ht="15" thickBot="1" x14ac:dyDescent="0.25"/>
    <row r="9" spans="1:9" ht="15.75" thickTop="1" thickBot="1" x14ac:dyDescent="0.25">
      <c r="A9" s="12" t="s">
        <v>7</v>
      </c>
      <c r="B9" s="12" t="s">
        <v>21</v>
      </c>
      <c r="C9" s="12" t="s">
        <v>4</v>
      </c>
      <c r="D9" s="12" t="s">
        <v>17</v>
      </c>
      <c r="E9" s="12" t="s">
        <v>19</v>
      </c>
    </row>
    <row r="10" spans="1:9" x14ac:dyDescent="0.2">
      <c r="A10" s="10">
        <v>200</v>
      </c>
      <c r="B10" s="10">
        <v>60</v>
      </c>
      <c r="C10" s="10">
        <v>30</v>
      </c>
      <c r="D10" s="10">
        <v>4</v>
      </c>
      <c r="E10" s="13">
        <v>65.803399999999996</v>
      </c>
    </row>
    <row r="11" spans="1:9" x14ac:dyDescent="0.2">
      <c r="A11" s="10">
        <v>200</v>
      </c>
      <c r="B11" s="10">
        <v>60</v>
      </c>
      <c r="C11" s="10">
        <v>30</v>
      </c>
      <c r="D11" s="10">
        <v>7</v>
      </c>
      <c r="E11" s="13">
        <v>42.405000000000001</v>
      </c>
    </row>
    <row r="12" spans="1:9" x14ac:dyDescent="0.2">
      <c r="A12" s="10">
        <v>200</v>
      </c>
      <c r="B12" s="10">
        <v>60</v>
      </c>
      <c r="C12" s="10">
        <v>30</v>
      </c>
      <c r="D12" s="10">
        <v>9</v>
      </c>
      <c r="E12" s="13">
        <v>49.669800000000002</v>
      </c>
    </row>
    <row r="13" spans="1:9" x14ac:dyDescent="0.2">
      <c r="A13" s="10">
        <v>200</v>
      </c>
      <c r="B13" s="10">
        <v>60</v>
      </c>
      <c r="C13" s="10">
        <v>30</v>
      </c>
      <c r="D13" s="10">
        <v>11</v>
      </c>
      <c r="E13" s="13">
        <v>52.2515</v>
      </c>
    </row>
    <row r="14" spans="1:9" ht="15" thickBot="1" x14ac:dyDescent="0.25">
      <c r="A14" s="11">
        <v>200</v>
      </c>
      <c r="B14" s="11">
        <v>60</v>
      </c>
      <c r="C14" s="11">
        <v>30</v>
      </c>
      <c r="D14" s="11">
        <v>13</v>
      </c>
      <c r="E14" s="14">
        <v>51.235900000000001</v>
      </c>
    </row>
    <row r="15" spans="1:9" ht="15" thickTop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压缩率计算</vt:lpstr>
      <vt:lpstr>不同压缩率</vt:lpstr>
      <vt:lpstr>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硕 张</cp:lastModifiedBy>
  <dcterms:created xsi:type="dcterms:W3CDTF">2015-06-05T18:19:34Z</dcterms:created>
  <dcterms:modified xsi:type="dcterms:W3CDTF">2026-03-27T13:03:58Z</dcterms:modified>
</cp:coreProperties>
</file>